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09403323\python\001_完成品\Curve_predict｜正規化\"/>
    </mc:Choice>
  </mc:AlternateContent>
  <xr:revisionPtr revIDLastSave="9" documentId="13_ncr:1_{F9E22379-CC67-4B21-BD59-ADCAFC9E8363}" xr6:coauthVersionLast="47" xr6:coauthVersionMax="47" xr10:uidLastSave="{E1E7420F-5CDE-4D52-91F6-BDE0F951FF33}"/>
  <bookViews>
    <workbookView xWindow="3216" yWindow="1956" windowWidth="17280" windowHeight="8976" firstSheet="2" activeTab="1" xr2:uid="{764E3B24-B3A2-0547-8CE1-B662334A490F}"/>
  </bookViews>
  <sheets>
    <sheet name="説明" sheetId="2" r:id="rId1"/>
    <sheet name="A_入力" sheetId="1" r:id="rId2"/>
    <sheet name="B_数式" sheetId="3" r:id="rId3"/>
  </sheets>
  <definedNames>
    <definedName name="_xlnm._FilterDatabase" localSheetId="1" hidden="1">A_入力!$G$1:$H$1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5" i="3"/>
  <c r="B14" i="3"/>
  <c r="B13" i="3"/>
  <c r="B17" i="3"/>
  <c r="B31" i="3" l="1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6" i="3"/>
</calcChain>
</file>

<file path=xl/sharedStrings.xml><?xml version="1.0" encoding="utf-8"?>
<sst xmlns="http://schemas.openxmlformats.org/spreadsheetml/2006/main" count="18" uniqueCount="11">
  <si>
    <t>TV</t>
    <phoneticPr fontId="8"/>
  </si>
  <si>
    <t>Tele-Digi</t>
    <phoneticPr fontId="8"/>
  </si>
  <si>
    <t>TV</t>
  </si>
  <si>
    <t>Digital</t>
  </si>
  <si>
    <t>a</t>
    <phoneticPr fontId="3"/>
  </si>
  <si>
    <t>b</t>
    <phoneticPr fontId="3"/>
  </si>
  <si>
    <t>K</t>
    <phoneticPr fontId="3"/>
  </si>
  <si>
    <t>x桁</t>
    <rPh sb="1" eb="2">
      <t>ケタ</t>
    </rPh>
    <phoneticPr fontId="3"/>
  </si>
  <si>
    <t>y桁</t>
    <rPh sb="1" eb="2">
      <t>ケタ</t>
    </rPh>
    <phoneticPr fontId="3"/>
  </si>
  <si>
    <t>R2</t>
    <phoneticPr fontId="3"/>
  </si>
  <si>
    <t>Digital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</si>
</sst>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_);[Red]\(0.00\)"/>
    <numFmt numFmtId="178" formatCode="#,##0.0;[Red]\-#,##0.0"/>
    <numFmt numFmtId="179" formatCode="0.000_);[Red]\(0.000\)"/>
    <numFmt numFmtId="180" formatCode="#,##0.00000000;[Red]\-#,##0.00000000"/>
  </numFmts>
  <fonts count="9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8"/>
      <color theme="3"/>
      <name val="游ゴシック Light"/>
      <family val="2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2" borderId="2" xfId="0" applyFont="1" applyFill="1" applyBorder="1">
      <alignment vertical="center"/>
    </xf>
    <xf numFmtId="176" fontId="4" fillId="0" borderId="1" xfId="0" applyNumberFormat="1" applyFont="1" applyBorder="1">
      <alignment vertical="center"/>
    </xf>
    <xf numFmtId="176" fontId="5" fillId="0" borderId="0" xfId="0" applyNumberFormat="1" applyFont="1">
      <alignment vertical="center"/>
    </xf>
    <xf numFmtId="177" fontId="4" fillId="0" borderId="3" xfId="0" applyNumberFormat="1" applyFont="1" applyBorder="1">
      <alignment vertical="center"/>
    </xf>
    <xf numFmtId="178" fontId="4" fillId="0" borderId="1" xfId="1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38" fontId="4" fillId="0" borderId="1" xfId="1" applyFont="1" applyBorder="1">
      <alignment vertical="center"/>
    </xf>
    <xf numFmtId="38" fontId="5" fillId="0" borderId="1" xfId="1" applyFont="1" applyBorder="1">
      <alignment vertical="center"/>
    </xf>
    <xf numFmtId="178" fontId="4" fillId="2" borderId="2" xfId="1" applyNumberFormat="1" applyFont="1" applyFill="1" applyBorder="1">
      <alignment vertical="center"/>
    </xf>
    <xf numFmtId="178" fontId="5" fillId="0" borderId="0" xfId="1" applyNumberFormat="1" applyFont="1">
      <alignment vertical="center"/>
    </xf>
    <xf numFmtId="179" fontId="4" fillId="0" borderId="1" xfId="0" applyNumberFormat="1" applyFont="1" applyBorder="1">
      <alignment vertical="center"/>
    </xf>
    <xf numFmtId="38" fontId="4" fillId="0" borderId="3" xfId="1" applyFont="1" applyBorder="1">
      <alignment vertical="center"/>
    </xf>
    <xf numFmtId="40" fontId="4" fillId="0" borderId="1" xfId="1" applyNumberFormat="1" applyFont="1" applyBorder="1">
      <alignment vertical="center"/>
    </xf>
    <xf numFmtId="0" fontId="0" fillId="2" borderId="2" xfId="0" applyFill="1" applyBorder="1">
      <alignment vertical="center"/>
    </xf>
    <xf numFmtId="40" fontId="0" fillId="2" borderId="2" xfId="1" applyNumberFormat="1" applyFont="1" applyFill="1" applyBorder="1">
      <alignment vertical="center"/>
    </xf>
    <xf numFmtId="0" fontId="0" fillId="0" borderId="3" xfId="0" applyBorder="1">
      <alignment vertical="center"/>
    </xf>
    <xf numFmtId="180" fontId="0" fillId="0" borderId="3" xfId="1" applyNumberFormat="1" applyFont="1" applyBorder="1">
      <alignment vertical="center"/>
    </xf>
    <xf numFmtId="0" fontId="0" fillId="0" borderId="1" xfId="0" applyBorder="1">
      <alignment vertical="center"/>
    </xf>
    <xf numFmtId="40" fontId="0" fillId="0" borderId="1" xfId="1" applyNumberFormat="1" applyFont="1" applyBorder="1">
      <alignment vertical="center"/>
    </xf>
    <xf numFmtId="40" fontId="4" fillId="0" borderId="3" xfId="1" applyNumberFormat="1" applyFont="1" applyBorder="1">
      <alignment vertical="center"/>
    </xf>
    <xf numFmtId="9" fontId="4" fillId="0" borderId="1" xfId="1" applyNumberFormat="1" applyFont="1" applyBorder="1">
      <alignment vertical="center"/>
    </xf>
  </cellXfs>
  <cellStyles count="6">
    <cellStyle name="桁区切り" xfId="1" builtinId="6"/>
    <cellStyle name="桁区切り 2" xfId="4" xr:uid="{57CF7572-3B6C-4BD2-926D-27976A96FE2D}"/>
    <cellStyle name="桁区切り 3" xfId="5" xr:uid="{1BDF948C-C206-45A9-AFE5-0CAD33D8D1BE}"/>
    <cellStyle name="標準" xfId="0" builtinId="0"/>
    <cellStyle name="標準 2" xfId="3" xr:uid="{EB4C526E-E50B-4981-AE7E-730864BD6255}"/>
    <cellStyle name="標準 3" xfId="2" xr:uid="{4A6D51AD-DEE3-4AA3-BA56-28A14C7299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742950</xdr:colOff>
      <xdr:row>1</xdr:row>
      <xdr:rowOff>66675</xdr:rowOff>
    </xdr:from>
    <xdr:to>
      <xdr:col>9</xdr:col>
      <xdr:colOff>180975</xdr:colOff>
      <xdr:row>15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E29E20-25BA-3203-4A0E-C4D316AE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323850"/>
          <a:ext cx="4562475" cy="352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2F09-9BE2-5740-8518-D7B9501669C4}">
  <sheetPr codeName="Sheet1"/>
  <dimension ref="A1"/>
  <sheetViews>
    <sheetView workbookViewId="0">
      <selection activeCell="D23" sqref="D23"/>
    </sheetView>
  </sheetViews>
  <sheetFormatPr defaultColWidth="10.88671875" defaultRowHeight="19.899999999999999"/>
  <sheetData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B0BB-A0F4-3B46-A191-8EF5A267D12F}">
  <sheetPr codeName="Sheet2"/>
  <dimension ref="A1:R46"/>
  <sheetViews>
    <sheetView tabSelected="1" zoomScale="85" zoomScaleNormal="85" workbookViewId="0">
      <selection activeCell="A2" sqref="A2"/>
    </sheetView>
  </sheetViews>
  <sheetFormatPr defaultColWidth="10.77734375" defaultRowHeight="16.149999999999999"/>
  <cols>
    <col min="1" max="1" width="13.21875" style="4" bestFit="1" customWidth="1"/>
    <col min="2" max="4" width="15.109375" style="4" customWidth="1"/>
    <col min="5" max="5" width="11.77734375" style="4" bestFit="1" customWidth="1"/>
    <col min="6" max="6" width="10.88671875" style="12" bestFit="1" customWidth="1"/>
    <col min="7" max="7" width="10.77734375" style="4"/>
    <col min="8" max="8" width="10.88671875" style="4" bestFit="1" customWidth="1"/>
    <col min="9" max="18" width="10.77734375" style="4"/>
    <col min="19" max="16384" width="10.77734375" style="1"/>
  </cols>
  <sheetData>
    <row r="1" spans="1:18" ht="16.899999999999999" thickBot="1">
      <c r="A1" s="2" t="s">
        <v>0</v>
      </c>
      <c r="B1" s="2"/>
      <c r="C1" s="2" t="s">
        <v>1</v>
      </c>
      <c r="D1" s="2"/>
      <c r="E1" s="2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6.5">
      <c r="A2" s="9">
        <v>0</v>
      </c>
      <c r="B2" s="23">
        <v>0</v>
      </c>
      <c r="C2" s="9">
        <v>0</v>
      </c>
      <c r="D2" s="9"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6.5">
      <c r="A3" s="9">
        <v>20000000</v>
      </c>
      <c r="B3" s="23">
        <v>0.4854</v>
      </c>
      <c r="C3" s="9">
        <v>20000000</v>
      </c>
      <c r="D3" s="9">
        <v>0.55979999999999996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6.5">
      <c r="A4" s="9">
        <v>40000000</v>
      </c>
      <c r="B4" s="23">
        <v>0.62939999999999996</v>
      </c>
      <c r="C4" s="9">
        <v>40000000</v>
      </c>
      <c r="D4" s="9">
        <v>0.71519999999999995</v>
      </c>
      <c r="E4" s="9"/>
      <c r="F4" s="9"/>
      <c r="G4" s="9"/>
      <c r="H4" s="9"/>
      <c r="I4" s="9"/>
      <c r="J4" s="9"/>
      <c r="K4" s="9"/>
      <c r="L4" s="9"/>
      <c r="M4" s="10"/>
      <c r="N4" s="10"/>
      <c r="O4" s="10"/>
      <c r="P4" s="10"/>
      <c r="Q4" s="10"/>
      <c r="R4" s="10"/>
    </row>
    <row r="5" spans="1:18" ht="16.5">
      <c r="A5" s="9">
        <v>60000000</v>
      </c>
      <c r="B5" s="23">
        <v>0.70199999999999996</v>
      </c>
      <c r="C5" s="9">
        <v>60000000</v>
      </c>
      <c r="D5" s="9">
        <v>0.7893</v>
      </c>
      <c r="E5" s="9"/>
      <c r="F5" s="9"/>
      <c r="G5" s="9"/>
      <c r="H5" s="9"/>
      <c r="I5" s="9"/>
      <c r="J5" s="9"/>
      <c r="K5" s="9"/>
      <c r="L5" s="9"/>
      <c r="M5" s="10"/>
      <c r="N5" s="10"/>
      <c r="O5" s="10"/>
      <c r="P5" s="10"/>
      <c r="Q5" s="10"/>
      <c r="R5" s="10"/>
    </row>
    <row r="6" spans="1:18" ht="16.5">
      <c r="A6" s="9">
        <v>80000000</v>
      </c>
      <c r="B6" s="23">
        <v>0.74670000000000003</v>
      </c>
      <c r="C6" s="9">
        <v>80000000</v>
      </c>
      <c r="D6" s="9">
        <v>0.8327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6.5">
      <c r="A7" s="9">
        <v>100000000</v>
      </c>
      <c r="B7" s="23">
        <v>0.77739999999999998</v>
      </c>
      <c r="C7" s="9">
        <v>100000000</v>
      </c>
      <c r="D7" s="9">
        <v>0.86129999999999995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6.5">
      <c r="A8" s="9">
        <v>120000000</v>
      </c>
      <c r="B8" s="23">
        <v>0.79990000000000006</v>
      </c>
      <c r="C8" s="9">
        <v>120000000</v>
      </c>
      <c r="D8" s="9">
        <v>0.88149999999999995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6.5">
      <c r="A9" s="9">
        <v>140000000</v>
      </c>
      <c r="B9" s="23">
        <v>0.81730000000000003</v>
      </c>
      <c r="C9" s="9">
        <v>140000000</v>
      </c>
      <c r="D9" s="9">
        <v>0.89659999999999995</v>
      </c>
      <c r="E9" s="9"/>
      <c r="F9" s="9"/>
      <c r="G9" s="9"/>
      <c r="H9" s="9"/>
      <c r="I9" s="9"/>
      <c r="J9" s="9"/>
      <c r="K9" s="9"/>
      <c r="L9" s="9"/>
      <c r="M9" s="10"/>
      <c r="N9" s="10"/>
      <c r="O9" s="10"/>
      <c r="P9" s="10"/>
      <c r="Q9" s="10"/>
      <c r="R9" s="10"/>
    </row>
    <row r="10" spans="1:18" ht="16.5">
      <c r="A10" s="9">
        <v>160000000</v>
      </c>
      <c r="B10" s="23">
        <v>0.83109999999999995</v>
      </c>
      <c r="C10" s="9">
        <v>160000000</v>
      </c>
      <c r="D10" s="9">
        <v>0.90820000000000001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6.5">
      <c r="A11" s="9">
        <v>180000000</v>
      </c>
      <c r="B11" s="23">
        <v>0.84230000000000005</v>
      </c>
      <c r="C11" s="9">
        <v>180000000</v>
      </c>
      <c r="D11" s="9">
        <v>0.91739999999999999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6.5">
      <c r="A12" s="9">
        <v>200000000</v>
      </c>
      <c r="B12" s="23">
        <v>0.85170000000000001</v>
      </c>
      <c r="C12" s="9">
        <v>200000000</v>
      </c>
      <c r="D12" s="9">
        <v>0.92490000000000006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6.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6.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6.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  <c r="N15" s="10"/>
      <c r="O15" s="10"/>
      <c r="P15" s="10"/>
      <c r="Q15" s="10"/>
      <c r="R15" s="10"/>
    </row>
    <row r="16" spans="1:18" ht="16.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7"/>
      <c r="N16" s="7"/>
      <c r="O16" s="7"/>
      <c r="P16" s="7"/>
      <c r="Q16" s="7"/>
      <c r="R16" s="7"/>
    </row>
    <row r="17" spans="1:18" ht="16.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7"/>
      <c r="N17" s="7"/>
      <c r="O17" s="7"/>
      <c r="P17" s="7"/>
      <c r="Q17" s="7"/>
      <c r="R17" s="7"/>
    </row>
    <row r="18" spans="1:18" ht="16.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7"/>
      <c r="N18" s="7"/>
      <c r="O18" s="7"/>
      <c r="P18" s="7"/>
      <c r="Q18" s="7"/>
      <c r="R18" s="7"/>
    </row>
    <row r="19" spans="1:18" ht="16.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</row>
    <row r="20" spans="1:18" ht="16.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</row>
    <row r="21" spans="1:18" ht="16.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</row>
    <row r="22" spans="1:18" ht="16.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3"/>
      <c r="N22" s="3"/>
      <c r="O22" s="3"/>
      <c r="P22" s="3"/>
      <c r="Q22" s="3"/>
      <c r="R22" s="3"/>
    </row>
    <row r="23" spans="1: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3"/>
      <c r="N23" s="3"/>
      <c r="O23" s="3"/>
      <c r="P23" s="3"/>
      <c r="Q23" s="3"/>
      <c r="R23" s="3"/>
    </row>
    <row r="24" spans="1:1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3"/>
      <c r="N24" s="3"/>
      <c r="O24" s="3"/>
      <c r="P24" s="3"/>
      <c r="Q24" s="3"/>
      <c r="R24" s="3"/>
    </row>
    <row r="25" spans="1:1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3"/>
      <c r="N25" s="3"/>
      <c r="O25" s="3"/>
      <c r="P25" s="3"/>
      <c r="Q25" s="3"/>
      <c r="R25" s="3"/>
    </row>
    <row r="26" spans="1:1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3"/>
      <c r="N26" s="3"/>
      <c r="O26" s="3"/>
      <c r="P26" s="3"/>
      <c r="Q26" s="3"/>
      <c r="R26" s="3"/>
    </row>
    <row r="27" spans="1:1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3"/>
      <c r="N27" s="3"/>
      <c r="O27" s="3"/>
      <c r="P27" s="3"/>
      <c r="Q27" s="3"/>
      <c r="R27" s="3"/>
    </row>
    <row r="28" spans="1:1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3"/>
      <c r="N28" s="3"/>
      <c r="O28" s="3"/>
      <c r="P28" s="3"/>
      <c r="Q28" s="3"/>
      <c r="R28" s="3"/>
    </row>
    <row r="29" spans="1:1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3"/>
      <c r="N29" s="3"/>
      <c r="O29" s="3"/>
      <c r="P29" s="3"/>
      <c r="Q29" s="3"/>
      <c r="R29" s="3"/>
    </row>
    <row r="30" spans="1:1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3"/>
      <c r="N30" s="3"/>
      <c r="O30" s="3"/>
      <c r="P30" s="3"/>
      <c r="Q30" s="3"/>
      <c r="R30" s="3"/>
    </row>
    <row r="31" spans="1:1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3"/>
      <c r="N31" s="3"/>
      <c r="O31" s="3"/>
      <c r="P31" s="3"/>
      <c r="Q31" s="3"/>
      <c r="R31" s="3"/>
    </row>
    <row r="32" spans="1:1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3"/>
      <c r="N32" s="3"/>
      <c r="O32" s="3"/>
      <c r="P32" s="3"/>
      <c r="Q32" s="3"/>
      <c r="R32" s="3"/>
    </row>
    <row r="33" spans="1:1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3"/>
      <c r="N33" s="3"/>
      <c r="O33" s="3"/>
      <c r="P33" s="3"/>
      <c r="Q33" s="3"/>
      <c r="R33" s="3"/>
    </row>
    <row r="34" spans="1:1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3"/>
      <c r="N34" s="3"/>
      <c r="O34" s="3"/>
      <c r="P34" s="3"/>
      <c r="Q34" s="3"/>
      <c r="R34" s="3"/>
    </row>
    <row r="35" spans="1:1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3"/>
      <c r="N35" s="3"/>
      <c r="O35" s="3"/>
      <c r="P35" s="3"/>
      <c r="Q35" s="3"/>
      <c r="R35" s="3"/>
    </row>
    <row r="36" spans="1:1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3"/>
      <c r="N36" s="3"/>
      <c r="O36" s="3"/>
      <c r="P36" s="3"/>
      <c r="Q36" s="3"/>
      <c r="R36" s="3"/>
    </row>
    <row r="37" spans="1:18">
      <c r="A37" s="3"/>
      <c r="B37" s="3"/>
      <c r="C37" s="3"/>
      <c r="D37" s="3"/>
      <c r="E37" s="3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3"/>
      <c r="B40" s="3"/>
      <c r="C40" s="3"/>
      <c r="D40" s="3"/>
      <c r="E40" s="3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"/>
      <c r="C41" s="3"/>
      <c r="D41" s="3"/>
      <c r="E41" s="3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/>
      <c r="B42" s="3"/>
      <c r="C42" s="3"/>
      <c r="D42" s="3"/>
      <c r="E42" s="3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/>
      <c r="B43" s="3"/>
      <c r="C43" s="3"/>
      <c r="D43" s="3"/>
      <c r="E43" s="3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/>
      <c r="B45" s="3"/>
      <c r="C45" s="3"/>
      <c r="D45" s="3"/>
      <c r="E45" s="3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3"/>
      <c r="B46" s="3"/>
      <c r="C46" s="3"/>
      <c r="D46" s="3"/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C172-9A6A-4CFE-B546-EC1E8CA5AF35}">
  <dimension ref="A1:D31"/>
  <sheetViews>
    <sheetView topLeftCell="A8" zoomScale="85" zoomScaleNormal="85" workbookViewId="0">
      <selection activeCell="B12" sqref="B12"/>
    </sheetView>
  </sheetViews>
  <sheetFormatPr defaultRowHeight="19.899999999999999"/>
  <cols>
    <col min="1" max="1" width="12.44140625" bestFit="1" customWidth="1"/>
    <col min="2" max="2" width="13.21875" bestFit="1" customWidth="1"/>
    <col min="3" max="6" width="13.21875" customWidth="1"/>
    <col min="7" max="8" width="12.21875" bestFit="1" customWidth="1"/>
  </cols>
  <sheetData>
    <row r="1" spans="1:4" ht="20.45" thickBot="1">
      <c r="A1" s="16"/>
      <c r="B1" s="17" t="s">
        <v>2</v>
      </c>
      <c r="C1" s="16"/>
      <c r="D1" s="17" t="s">
        <v>3</v>
      </c>
    </row>
    <row r="2" spans="1:4" ht="20.45" thickTop="1">
      <c r="A2" s="18" t="s">
        <v>4</v>
      </c>
      <c r="B2" s="19">
        <v>0.1597985813249588</v>
      </c>
      <c r="C2" s="18" t="s">
        <v>4</v>
      </c>
      <c r="D2" s="19">
        <v>2.017863704765595</v>
      </c>
    </row>
    <row r="3" spans="1:4">
      <c r="A3" s="20" t="s">
        <v>5</v>
      </c>
      <c r="B3" s="21">
        <v>-1.078701924010683</v>
      </c>
      <c r="C3" s="20" t="s">
        <v>5</v>
      </c>
      <c r="D3" s="21">
        <v>-0.96871940407669532</v>
      </c>
    </row>
    <row r="4" spans="1:4">
      <c r="A4" s="20" t="s">
        <v>6</v>
      </c>
      <c r="B4" s="21">
        <v>8.2308018274536779E-2</v>
      </c>
      <c r="C4" s="20" t="s">
        <v>6</v>
      </c>
      <c r="D4" s="21">
        <v>5.6790935784445898E-2</v>
      </c>
    </row>
    <row r="5" spans="1:4">
      <c r="A5" s="20" t="s">
        <v>7</v>
      </c>
      <c r="B5" s="21">
        <v>8</v>
      </c>
      <c r="C5" s="20" t="s">
        <v>7</v>
      </c>
      <c r="D5" s="21">
        <v>7</v>
      </c>
    </row>
    <row r="6" spans="1:4">
      <c r="A6" s="20" t="s">
        <v>8</v>
      </c>
      <c r="B6" s="21">
        <v>1</v>
      </c>
      <c r="C6" s="20" t="s">
        <v>8</v>
      </c>
      <c r="D6" s="21">
        <v>1</v>
      </c>
    </row>
    <row r="7" spans="1:4">
      <c r="A7" s="20" t="s">
        <v>9</v>
      </c>
      <c r="B7" s="21">
        <v>0.99410880187289685</v>
      </c>
      <c r="C7" s="20" t="s">
        <v>9</v>
      </c>
      <c r="D7" s="21">
        <v>0.99410880186518569</v>
      </c>
    </row>
    <row r="10" spans="1:4" ht="20.45" thickBot="1">
      <c r="A10" s="2" t="s">
        <v>2</v>
      </c>
      <c r="B10" s="2"/>
      <c r="C10" s="2" t="s">
        <v>10</v>
      </c>
      <c r="D10" s="2"/>
    </row>
    <row r="11" spans="1:4" ht="20.45" thickTop="1">
      <c r="A11" s="9">
        <v>0</v>
      </c>
      <c r="B11" s="15"/>
      <c r="C11" s="9">
        <v>0</v>
      </c>
      <c r="D11" s="15">
        <v>0</v>
      </c>
    </row>
    <row r="12" spans="1:4">
      <c r="A12" s="14">
        <v>20000000000</v>
      </c>
      <c r="B12" s="22">
        <f>B$4/(1+B$2*($A12/10^B$5)^B$3)*10^B$6</f>
        <v>0.82264701016369279</v>
      </c>
      <c r="C12" s="14">
        <v>200</v>
      </c>
      <c r="D12" s="15">
        <v>43.5</v>
      </c>
    </row>
    <row r="13" spans="1:4">
      <c r="A13" s="14">
        <v>40000000000</v>
      </c>
      <c r="B13" s="22">
        <f>B$4/(1+B$2*($A13/10^B$5)^B$3)*10^B$6</f>
        <v>0.82287503833473563</v>
      </c>
      <c r="C13" s="14">
        <v>400</v>
      </c>
      <c r="D13" s="15">
        <v>57.5</v>
      </c>
    </row>
    <row r="14" spans="1:4">
      <c r="A14" s="14">
        <v>60000000000</v>
      </c>
      <c r="B14" s="22">
        <f>B$4/(1+B$2*($A14/10^B$5)^B$3)*10^B$6</f>
        <v>0.82294770343521129</v>
      </c>
      <c r="C14" s="14">
        <v>600</v>
      </c>
      <c r="D14" s="15">
        <v>64.7</v>
      </c>
    </row>
    <row r="15" spans="1:4">
      <c r="A15" s="14">
        <v>80000000000</v>
      </c>
      <c r="B15" s="22">
        <f>B$4/(1+B$2*($A15/10^B$5)^B$3)*10^B$6</f>
        <v>0.82298304342692352</v>
      </c>
      <c r="C15" s="14">
        <v>800</v>
      </c>
      <c r="D15" s="15">
        <v>69.2</v>
      </c>
    </row>
    <row r="16" spans="1:4">
      <c r="A16" s="14">
        <v>100000000000</v>
      </c>
      <c r="B16" s="22">
        <f t="shared" ref="B16:B31" si="0">B$4/(1+B$2*($A16/10^B$5)^B$3)*10^B$6</f>
        <v>0.82300382220386004</v>
      </c>
      <c r="C16" s="14">
        <v>1000</v>
      </c>
      <c r="D16" s="15">
        <v>72.3</v>
      </c>
    </row>
    <row r="17" spans="1:4">
      <c r="A17" s="14">
        <v>120000000000</v>
      </c>
      <c r="B17" s="22">
        <f>B$4/(1+B$2*($A17/10^B$5)^B$3)*10^B$6</f>
        <v>0.8230174544868506</v>
      </c>
      <c r="C17" s="14">
        <v>1200</v>
      </c>
      <c r="D17" s="15">
        <v>74.599999999999994</v>
      </c>
    </row>
    <row r="18" spans="1:4">
      <c r="A18" s="14">
        <v>140000000000</v>
      </c>
      <c r="B18" s="22">
        <f t="shared" si="0"/>
        <v>0.82302706340536702</v>
      </c>
      <c r="C18" s="14">
        <v>1400</v>
      </c>
      <c r="D18" s="15">
        <v>76.400000000000006</v>
      </c>
    </row>
    <row r="19" spans="1:4">
      <c r="A19" s="8">
        <v>160000000000</v>
      </c>
      <c r="B19" s="22">
        <f t="shared" si="0"/>
        <v>0.82303418882748502</v>
      </c>
      <c r="C19" s="8">
        <v>1600</v>
      </c>
      <c r="D19" s="13">
        <v>77.900000000000006</v>
      </c>
    </row>
    <row r="20" spans="1:4">
      <c r="A20" s="8">
        <v>180000000000</v>
      </c>
      <c r="B20" s="22">
        <f t="shared" si="0"/>
        <v>0.82303967622135477</v>
      </c>
      <c r="C20" s="8">
        <v>1800</v>
      </c>
      <c r="D20" s="13">
        <v>79.099999999999994</v>
      </c>
    </row>
    <row r="21" spans="1:4">
      <c r="A21" s="8">
        <v>200000000000</v>
      </c>
      <c r="B21" s="22">
        <f t="shared" si="0"/>
        <v>0.82304402772756502</v>
      </c>
      <c r="C21" s="8">
        <v>2000</v>
      </c>
      <c r="D21" s="13">
        <v>80.099999999999994</v>
      </c>
    </row>
    <row r="22" spans="1:4">
      <c r="A22" s="8">
        <v>220000000000</v>
      </c>
      <c r="B22" s="22">
        <f t="shared" si="0"/>
        <v>0.82304756003243718</v>
      </c>
      <c r="C22" s="8">
        <v>2200</v>
      </c>
      <c r="D22" s="13">
        <v>81</v>
      </c>
    </row>
    <row r="23" spans="1:4">
      <c r="A23" s="8">
        <v>240000000000</v>
      </c>
      <c r="B23" s="22">
        <f t="shared" si="0"/>
        <v>0.82305048256934343</v>
      </c>
      <c r="C23" s="8">
        <v>2400</v>
      </c>
      <c r="D23" s="13">
        <v>81.7</v>
      </c>
    </row>
    <row r="24" spans="1:4">
      <c r="A24" s="8">
        <v>260000000000</v>
      </c>
      <c r="B24" s="22">
        <f t="shared" si="0"/>
        <v>0.82305293927876544</v>
      </c>
      <c r="C24" s="8">
        <v>2600</v>
      </c>
      <c r="D24" s="13">
        <v>82.4</v>
      </c>
    </row>
    <row r="25" spans="1:4">
      <c r="A25" s="8">
        <v>280000000000</v>
      </c>
      <c r="B25" s="22">
        <f t="shared" si="0"/>
        <v>0.82305503229344479</v>
      </c>
      <c r="C25" s="8">
        <v>2800</v>
      </c>
      <c r="D25" s="13">
        <v>83</v>
      </c>
    </row>
    <row r="26" spans="1:4">
      <c r="A26" s="8">
        <v>300000000000</v>
      </c>
      <c r="B26" s="22">
        <f t="shared" si="0"/>
        <v>0.82305683605313518</v>
      </c>
      <c r="C26" s="8">
        <v>3000</v>
      </c>
      <c r="D26" s="13">
        <v>83.5</v>
      </c>
    </row>
    <row r="27" spans="1:4">
      <c r="A27" s="8">
        <v>320000000000</v>
      </c>
      <c r="B27" s="22">
        <f t="shared" si="0"/>
        <v>0.82305840607142244</v>
      </c>
      <c r="C27" s="8">
        <v>3200</v>
      </c>
      <c r="D27" s="13">
        <v>84</v>
      </c>
    </row>
    <row r="28" spans="1:4">
      <c r="A28" s="8">
        <v>340000000000</v>
      </c>
      <c r="B28" s="22">
        <f t="shared" si="0"/>
        <v>0.82305978457573192</v>
      </c>
      <c r="C28" s="8">
        <v>3400</v>
      </c>
      <c r="D28" s="13">
        <v>84.4</v>
      </c>
    </row>
    <row r="29" spans="1:4">
      <c r="A29" s="8">
        <v>360000000000</v>
      </c>
      <c r="B29" s="22">
        <f t="shared" si="0"/>
        <v>0.82306100424720807</v>
      </c>
      <c r="C29" s="8">
        <v>3600</v>
      </c>
      <c r="D29" s="13">
        <v>84.8</v>
      </c>
    </row>
    <row r="30" spans="1:4">
      <c r="A30" s="8">
        <v>380000000000</v>
      </c>
      <c r="B30" s="22">
        <f t="shared" si="0"/>
        <v>0.82306209076677339</v>
      </c>
      <c r="C30" s="8">
        <v>3800</v>
      </c>
      <c r="D30" s="13">
        <v>85.1</v>
      </c>
    </row>
    <row r="31" spans="1:4">
      <c r="A31" s="3">
        <v>400000000000</v>
      </c>
      <c r="B31" s="22">
        <f t="shared" si="0"/>
        <v>0.82306306458899692</v>
      </c>
      <c r="C31" s="3">
        <v>4000</v>
      </c>
      <c r="D31" s="13">
        <v>85.5</v>
      </c>
    </row>
  </sheetData>
  <phoneticPr fontId="3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0099B-69B4-4046-972D-50F39368D06A}"/>
</file>

<file path=customXml/itemProps2.xml><?xml version="1.0" encoding="utf-8"?>
<ds:datastoreItem xmlns:ds="http://schemas.openxmlformats.org/officeDocument/2006/customXml" ds:itemID="{7625E6BD-5C8F-4F97-BBF9-B032D5A31585}"/>
</file>

<file path=customXml/itemProps3.xml><?xml version="1.0" encoding="utf-8"?>
<ds:datastoreItem xmlns:ds="http://schemas.openxmlformats.org/officeDocument/2006/customXml" ds:itemID="{C6136AE8-9576-4C82-84AE-1ED56C7F0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</dc:creator>
  <cp:keywords/>
  <dc:description/>
  <cp:lastModifiedBy>宮下 里彩 ＭＰ 統合ＡＰ ＡＳ推四</cp:lastModifiedBy>
  <cp:revision/>
  <dcterms:created xsi:type="dcterms:W3CDTF">2023-04-04T06:07:53Z</dcterms:created>
  <dcterms:modified xsi:type="dcterms:W3CDTF">2024-09-05T17:31:43Z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